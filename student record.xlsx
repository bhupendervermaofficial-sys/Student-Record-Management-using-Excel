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ca554cfec147fe/Desktop/EXCEL PROJECT/"/>
    </mc:Choice>
  </mc:AlternateContent>
  <xr:revisionPtr revIDLastSave="322" documentId="8_{E777661A-944E-4A6E-BC2F-DC6E55424740}" xr6:coauthVersionLast="47" xr6:coauthVersionMax="47" xr10:uidLastSave="{C6B31417-DF42-4B55-B51F-54BB763C4C83}"/>
  <bookViews>
    <workbookView xWindow="-108" yWindow="-108" windowWidth="23256" windowHeight="12456" activeTab="1" xr2:uid="{36EFB698-8A2D-4DE5-80F1-E64F1C15BB6C}"/>
  </bookViews>
  <sheets>
    <sheet name="students_record" sheetId="1" r:id="rId1"/>
    <sheet name="department_data" sheetId="2" r:id="rId2"/>
  </sheets>
  <definedNames>
    <definedName name="_xlnm._FilterDatabase" localSheetId="0" hidden="1">students_record!$A$2:$N$7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M3" i="1"/>
  <c r="G3" i="1"/>
  <c r="K3" i="1" s="1"/>
  <c r="G4" i="1"/>
  <c r="K4" i="1" s="1"/>
  <c r="G5" i="1"/>
  <c r="K5" i="1" s="1"/>
  <c r="G6" i="1"/>
  <c r="K6" i="1" s="1"/>
  <c r="G7" i="1"/>
  <c r="K7" i="1" s="1"/>
  <c r="J3" i="1"/>
  <c r="J4" i="1"/>
  <c r="J6" i="1"/>
  <c r="J5" i="1"/>
  <c r="J7" i="1"/>
  <c r="M4" i="1"/>
  <c r="N4" i="1" s="1"/>
  <c r="M6" i="1"/>
  <c r="M5" i="1"/>
  <c r="M7" i="1"/>
  <c r="L3" i="1"/>
  <c r="L4" i="1"/>
  <c r="L6" i="1"/>
  <c r="L5" i="1"/>
  <c r="L7" i="1"/>
  <c r="I3" i="1"/>
  <c r="I4" i="1"/>
  <c r="I6" i="1"/>
  <c r="I5" i="1"/>
  <c r="I7" i="1"/>
  <c r="H3" i="1"/>
  <c r="H4" i="1"/>
  <c r="H6" i="1"/>
  <c r="H5" i="1"/>
  <c r="H7" i="1"/>
  <c r="N5" i="1" l="1"/>
  <c r="N7" i="1"/>
  <c r="N6" i="1"/>
</calcChain>
</file>

<file path=xl/sharedStrings.xml><?xml version="1.0" encoding="utf-8"?>
<sst xmlns="http://schemas.openxmlformats.org/spreadsheetml/2006/main" count="21" uniqueCount="21">
  <si>
    <t>Sr. No.</t>
  </si>
  <si>
    <t xml:space="preserve">Student Name </t>
  </si>
  <si>
    <t>Total marks</t>
  </si>
  <si>
    <t>max</t>
  </si>
  <si>
    <t>min</t>
  </si>
  <si>
    <t>%age</t>
  </si>
  <si>
    <t>avg.</t>
  </si>
  <si>
    <t>Result</t>
  </si>
  <si>
    <t>Grade</t>
  </si>
  <si>
    <t>Aman yadav</t>
  </si>
  <si>
    <t>Rahul singh</t>
  </si>
  <si>
    <t>Bhupender verma</t>
  </si>
  <si>
    <t xml:space="preserve">Chiku verma </t>
  </si>
  <si>
    <t>Bhupi rajput</t>
  </si>
  <si>
    <t>Hindi</t>
  </si>
  <si>
    <t>English</t>
  </si>
  <si>
    <t>Maths</t>
  </si>
  <si>
    <t>Count</t>
  </si>
  <si>
    <t>Students Record</t>
  </si>
  <si>
    <t xml:space="preserve">Contact No.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</si>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</sst>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1" tint="0.44999542222357858"/>
        <bgColor theme="1" tint="0.4499954222235785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  <fill>
        <patternFill patternType="solid">
          <fgColor theme="1" tint="0.249977111117893"/>
          <bgColor theme="1" tint="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Marks Records</a:t>
            </a:r>
          </a:p>
        </c:rich>
      </c:tx>
      <c:layout>
        <c:manualLayout>
          <c:xMode val="edge"/>
          <c:yMode val="edge"/>
          <c:x val="0.37917788172576894"/>
          <c:y val="2.3573106977876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students_record!$D$2:$F$2</c:f>
              <c:strCache>
                <c:ptCount val="3"/>
                <c:pt idx="0">
                  <c:v>Hindi</c:v>
                </c:pt>
                <c:pt idx="1">
                  <c:v>English</c:v>
                </c:pt>
                <c:pt idx="2">
                  <c:v>Maths</c:v>
                </c:pt>
              </c:strCache>
            </c:strRef>
          </c:cat>
          <c:val>
            <c:numRef>
              <c:f>students_record!$D$3:$F$3</c:f>
              <c:numCache>
                <c:formatCode>General</c:formatCode>
                <c:ptCount val="3"/>
                <c:pt idx="0">
                  <c:v>95</c:v>
                </c:pt>
                <c:pt idx="1">
                  <c:v>32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7-4AB7-A390-551092059ACE}"/>
            </c:ext>
          </c:extLst>
        </c:ser>
        <c:ser>
          <c:idx val="1"/>
          <c:order val="1"/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students_record!$D$2:$F$2</c:f>
              <c:strCache>
                <c:ptCount val="3"/>
                <c:pt idx="0">
                  <c:v>Hindi</c:v>
                </c:pt>
                <c:pt idx="1">
                  <c:v>English</c:v>
                </c:pt>
                <c:pt idx="2">
                  <c:v>Maths</c:v>
                </c:pt>
              </c:strCache>
            </c:strRef>
          </c:cat>
          <c:val>
            <c:numRef>
              <c:f>students_record!$D$4:$F$4</c:f>
              <c:numCache>
                <c:formatCode>General</c:formatCode>
                <c:ptCount val="3"/>
                <c:pt idx="0">
                  <c:v>87</c:v>
                </c:pt>
                <c:pt idx="1">
                  <c:v>25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87-4AB7-A390-551092059ACE}"/>
            </c:ext>
          </c:extLst>
        </c:ser>
        <c:ser>
          <c:idx val="2"/>
          <c:order val="2"/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students_record!$D$2:$F$2</c:f>
              <c:strCache>
                <c:ptCount val="3"/>
                <c:pt idx="0">
                  <c:v>Hindi</c:v>
                </c:pt>
                <c:pt idx="1">
                  <c:v>English</c:v>
                </c:pt>
                <c:pt idx="2">
                  <c:v>Maths</c:v>
                </c:pt>
              </c:strCache>
            </c:strRef>
          </c:cat>
          <c:val>
            <c:numRef>
              <c:f>students_record!$D$5:$F$5</c:f>
              <c:numCache>
                <c:formatCode>General</c:formatCode>
                <c:ptCount val="3"/>
                <c:pt idx="0">
                  <c:v>86</c:v>
                </c:pt>
                <c:pt idx="1">
                  <c:v>56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87-4AB7-A390-551092059ACE}"/>
            </c:ext>
          </c:extLst>
        </c:ser>
        <c:ser>
          <c:idx val="3"/>
          <c:order val="3"/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students_record!$D$2:$F$2</c:f>
              <c:strCache>
                <c:ptCount val="3"/>
                <c:pt idx="0">
                  <c:v>Hindi</c:v>
                </c:pt>
                <c:pt idx="1">
                  <c:v>English</c:v>
                </c:pt>
                <c:pt idx="2">
                  <c:v>Maths</c:v>
                </c:pt>
              </c:strCache>
            </c:strRef>
          </c:cat>
          <c:val>
            <c:numRef>
              <c:f>students_record!$D$6:$F$6</c:f>
              <c:numCache>
                <c:formatCode>General</c:formatCode>
                <c:ptCount val="3"/>
                <c:pt idx="0">
                  <c:v>86</c:v>
                </c:pt>
                <c:pt idx="1">
                  <c:v>76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87-4AB7-A390-551092059ACE}"/>
            </c:ext>
          </c:extLst>
        </c:ser>
        <c:ser>
          <c:idx val="4"/>
          <c:order val="4"/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students_record!$D$2:$F$2</c:f>
              <c:strCache>
                <c:ptCount val="3"/>
                <c:pt idx="0">
                  <c:v>Hindi</c:v>
                </c:pt>
                <c:pt idx="1">
                  <c:v>English</c:v>
                </c:pt>
                <c:pt idx="2">
                  <c:v>Maths</c:v>
                </c:pt>
              </c:strCache>
            </c:strRef>
          </c:cat>
          <c:val>
            <c:numRef>
              <c:f>students_record!$D$7:$F$7</c:f>
              <c:numCache>
                <c:formatCode>General</c:formatCode>
                <c:ptCount val="3"/>
                <c:pt idx="0">
                  <c:v>59</c:v>
                </c:pt>
                <c:pt idx="1">
                  <c:v>58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87-4AB7-A390-551092059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393208191"/>
        <c:axId val="393208671"/>
      </c:barChart>
      <c:catAx>
        <c:axId val="3932081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08671"/>
        <c:crosses val="autoZero"/>
        <c:auto val="1"/>
        <c:lblAlgn val="ctr"/>
        <c:lblOffset val="100"/>
        <c:noMultiLvlLbl val="0"/>
      </c:catAx>
      <c:valAx>
        <c:axId val="3932086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0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9278384815170453E-2"/>
          <c:y val="5.9702376954953625E-2"/>
          <c:w val="0.23587520289545696"/>
          <c:h val="7.6965978806469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125389</xdr:rowOff>
    </xdr:from>
    <xdr:to>
      <xdr:col>14</xdr:col>
      <xdr:colOff>2286</xdr:colOff>
      <xdr:row>23</xdr:row>
      <xdr:rowOff>113215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129FE1-AE8F-84FE-0CAF-882F7AF52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537D18-CF9C-413C-BB29-A8A462925D52}" name="Table1" displayName="Table1" ref="A2:N7" totalsRowShown="0" headerRowDxfId="20" dataDxfId="18" headerRowBorderDxfId="19" tableBorderDxfId="17" totalsRowBorderDxfId="16">
  <autoFilter ref="A2:N7" xr:uid="{2E1600DE-0505-4274-8E11-063B072D93D3}"/>
  <tableColumns count="14">
    <tableColumn id="1" xr3:uid="{B792FBD1-2962-4CB6-B89C-CA98F5D245FA}" name="Sr. No." dataDxfId="15"/>
    <tableColumn id="2" xr3:uid="{ACFB17A4-8E7A-4F63-B777-E31D1AB5C900}" name="Student Name " dataDxfId="14"/>
    <tableColumn id="14" xr3:uid="{4AC7651C-8E52-47B2-A80D-D426F8DF80F7}" name="Contact No. " dataDxfId="13"/>
    <tableColumn id="3" xr3:uid="{D7CA9D46-8CF4-4D1F-9AB5-5FCEEAD1DD5A}" name="Hindi" dataDxfId="12"/>
    <tableColumn id="4" xr3:uid="{D6E51D66-B6B8-4D46-99F4-DC840F44506B}" name="English" dataDxfId="11"/>
    <tableColumn id="5" xr3:uid="{FA61B6A5-C0EB-41E5-AA5D-6D5300CCED6C}" name="Maths" dataDxfId="10"/>
    <tableColumn id="6" xr3:uid="{71F2B7C4-835D-4C74-BC38-32CCD2BBB2E4}" name="Total marks" dataDxfId="9">
      <calculatedColumnFormula>SUM(Table1[[#This Row],[Hindi]:[Maths]])</calculatedColumnFormula>
    </tableColumn>
    <tableColumn id="7" xr3:uid="{28763599-6CFD-4BC4-BDD7-928E0468812E}" name="max" dataDxfId="8">
      <calculatedColumnFormula>MAX(D3:F3)</calculatedColumnFormula>
    </tableColumn>
    <tableColumn id="8" xr3:uid="{CF34DA98-6C21-4645-8DBC-924132B37867}" name="min" dataDxfId="7">
      <calculatedColumnFormula>MIN(D3:F3)</calculatedColumnFormula>
    </tableColumn>
    <tableColumn id="9" xr3:uid="{D66E8D57-8633-49D2-BF17-396D2BC74508}" name="Count" dataDxfId="6">
      <calculatedColumnFormula>COUNT(D3:F3)</calculatedColumnFormula>
    </tableColumn>
    <tableColumn id="10" xr3:uid="{B6C0D8C6-D1C7-4E48-A3F9-4A45640A0D6B}" name="%age" dataDxfId="5">
      <calculatedColumnFormula>G3/350*100</calculatedColumnFormula>
    </tableColumn>
    <tableColumn id="11" xr3:uid="{52E59640-9F27-467B-AB71-1D809C483BB8}" name="avg." dataDxfId="4">
      <calculatedColumnFormula>AVERAGE(D3:F3)</calculatedColumnFormula>
    </tableColumn>
    <tableColumn id="12" xr3:uid="{121A8D43-8F00-4105-BD6E-32EC19FA77D7}" name="Result" dataDxfId="3">
      <calculatedColumnFormula>IF(AND(D3&gt;=33,E3&gt;=33,F3&gt;=33),"pass","fail")</calculatedColumnFormula>
    </tableColumn>
    <tableColumn id="13" xr3:uid="{E4A964BA-B649-431D-A30C-C1449D9335E6}" name="Grade" dataDxfId="2">
      <calculatedColumnFormula>IF(M3="fail","fail",IF(K3&gt;=75,"A+",IF(K3&gt;=60,"A",IF(K3&gt;=45,"B",IF(K3&gt;=35,"C")))))</calculatedColumnFormula>
    </tableColumn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00DE-0505-4274-8E11-063B072D93D3}">
  <dimension ref="A1:N7"/>
  <sheetViews>
    <sheetView zoomScale="94" zoomScaleNormal="90" workbookViewId="0">
      <selection activeCell="N4" sqref="N4"/>
    </sheetView>
  </sheetViews>
  <sheetFormatPr defaultRowHeight="14.4" x14ac:dyDescent="0.3"/>
  <cols>
    <col min="1" max="1" width="2.109375" bestFit="1" customWidth="1"/>
    <col min="2" max="2" width="15.77734375" bestFit="1" customWidth="1"/>
    <col min="3" max="3" width="16.109375" bestFit="1" customWidth="1"/>
    <col min="4" max="4" width="10.109375" bestFit="1" customWidth="1"/>
    <col min="5" max="5" width="11.5546875" bestFit="1" customWidth="1"/>
    <col min="6" max="6" width="11.109375" bestFit="1" customWidth="1"/>
    <col min="7" max="7" width="15.44140625" bestFit="1" customWidth="1"/>
    <col min="8" max="8" width="9.33203125" bestFit="1" customWidth="1"/>
    <col min="9" max="9" width="9" bestFit="1" customWidth="1"/>
    <col min="10" max="10" width="10.77734375" bestFit="1" customWidth="1"/>
    <col min="11" max="11" width="10.109375" bestFit="1" customWidth="1"/>
    <col min="12" max="12" width="9.21875" bestFit="1" customWidth="1"/>
    <col min="13" max="13" width="11.109375" bestFit="1" customWidth="1"/>
    <col min="14" max="14" width="10.88671875" bestFit="1" customWidth="1"/>
  </cols>
  <sheetData>
    <row r="1" spans="1:14" x14ac:dyDescent="0.3">
      <c r="A1" s="15" t="s">
        <v>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3">
      <c r="A2" s="1" t="s">
        <v>0</v>
      </c>
      <c r="B2" s="2" t="s">
        <v>1</v>
      </c>
      <c r="C2" s="12" t="s">
        <v>19</v>
      </c>
      <c r="D2" s="2" t="s">
        <v>14</v>
      </c>
      <c r="E2" s="2" t="s">
        <v>15</v>
      </c>
      <c r="F2" s="2" t="s">
        <v>16</v>
      </c>
      <c r="G2" s="2" t="s">
        <v>2</v>
      </c>
      <c r="H2" s="2" t="s">
        <v>3</v>
      </c>
      <c r="I2" s="2" t="s">
        <v>4</v>
      </c>
      <c r="J2" s="2" t="s">
        <v>17</v>
      </c>
      <c r="K2" s="2" t="s">
        <v>5</v>
      </c>
      <c r="L2" s="2" t="s">
        <v>6</v>
      </c>
      <c r="M2" s="2" t="s">
        <v>7</v>
      </c>
      <c r="N2" s="3" t="s">
        <v>8</v>
      </c>
    </row>
    <row r="3" spans="1:14" x14ac:dyDescent="0.3">
      <c r="A3" s="4">
        <v>1</v>
      </c>
      <c r="B3" s="5" t="s">
        <v>9</v>
      </c>
      <c r="C3" s="13">
        <v>8957546624</v>
      </c>
      <c r="D3" s="5">
        <v>95</v>
      </c>
      <c r="E3" s="5">
        <v>32</v>
      </c>
      <c r="F3" s="5">
        <v>58</v>
      </c>
      <c r="G3" s="5">
        <f>SUM(Table1[[#This Row],[Hindi]:[Maths]])</f>
        <v>185</v>
      </c>
      <c r="H3" s="5">
        <f>MAX(D3:F3)</f>
        <v>95</v>
      </c>
      <c r="I3" s="5">
        <f>MIN(D3:F3)</f>
        <v>32</v>
      </c>
      <c r="J3" s="5">
        <f>COUNT(D3:F3)</f>
        <v>3</v>
      </c>
      <c r="K3" s="6">
        <f>G3/350*100</f>
        <v>52.857142857142861</v>
      </c>
      <c r="L3" s="6">
        <f>AVERAGE(D3:F3)</f>
        <v>61.666666666666664</v>
      </c>
      <c r="M3" s="5" t="str">
        <f>IF(AND(D3&gt;=33,E3&gt;=33,F3&gt;=33),"pass","fail")</f>
        <v>fail</v>
      </c>
      <c r="N3" s="7" t="str">
        <f>IF(M3="fail","fail",IF(K3&gt;=75,"A+",IF(K3&gt;=60,"A",IF(K3&gt;=45,"B",IF(K3&gt;=35,"C")))))</f>
        <v>fail</v>
      </c>
    </row>
    <row r="4" spans="1:14" x14ac:dyDescent="0.3">
      <c r="A4" s="4">
        <v>2</v>
      </c>
      <c r="B4" s="5" t="s">
        <v>11</v>
      </c>
      <c r="C4" s="14">
        <v>6581526922</v>
      </c>
      <c r="D4" s="5">
        <v>87</v>
      </c>
      <c r="E4" s="5">
        <v>25</v>
      </c>
      <c r="F4" s="5">
        <v>14</v>
      </c>
      <c r="G4" s="5">
        <f>SUM(Table1[[#This Row],[Hindi]:[Maths]])</f>
        <v>126</v>
      </c>
      <c r="H4" s="5">
        <f>MAX(D4:F4)</f>
        <v>87</v>
      </c>
      <c r="I4" s="5">
        <f>MIN(D4:F4)</f>
        <v>14</v>
      </c>
      <c r="J4" s="5">
        <f>COUNT(D4:F4)</f>
        <v>3</v>
      </c>
      <c r="K4" s="6">
        <f>G4/350*100</f>
        <v>36</v>
      </c>
      <c r="L4" s="6">
        <f>AVERAGE(D4:F4)</f>
        <v>42</v>
      </c>
      <c r="M4" s="5" t="str">
        <f>IF(AND(D4&gt;=33,E4&gt;=33,F4&gt;=33),"pass","fail")</f>
        <v>fail</v>
      </c>
      <c r="N4" s="7" t="str">
        <f>IF(M4="fail","fail",IF(K4&gt;=75,"A+",IF(K4&gt;=60,"A",IF(K4&gt;=45,"B",IF(K4&gt;=35,"C")))))</f>
        <v>fail</v>
      </c>
    </row>
    <row r="5" spans="1:14" x14ac:dyDescent="0.3">
      <c r="A5" s="4">
        <v>3</v>
      </c>
      <c r="B5" s="5" t="s">
        <v>13</v>
      </c>
      <c r="C5" s="13">
        <v>9687452158</v>
      </c>
      <c r="D5" s="5">
        <v>86</v>
      </c>
      <c r="E5" s="5">
        <v>56</v>
      </c>
      <c r="F5" s="5">
        <v>39</v>
      </c>
      <c r="G5" s="5">
        <f>SUM(Table1[[#This Row],[Hindi]:[Maths]])</f>
        <v>181</v>
      </c>
      <c r="H5" s="5">
        <f>MAX(D5:F5)</f>
        <v>86</v>
      </c>
      <c r="I5" s="5">
        <f>MIN(D5:F5)</f>
        <v>39</v>
      </c>
      <c r="J5" s="5">
        <f>COUNT(D5:F5)</f>
        <v>3</v>
      </c>
      <c r="K5" s="6">
        <f>G5/350*100</f>
        <v>51.714285714285715</v>
      </c>
      <c r="L5" s="6">
        <f>AVERAGE(D5:F5)</f>
        <v>60.333333333333336</v>
      </c>
      <c r="M5" s="5" t="str">
        <f>IF(AND(D5&gt;=33,E5&gt;=33,F5&gt;=33),"pass","fail")</f>
        <v>pass</v>
      </c>
      <c r="N5" s="7" t="str">
        <f>IF(M5="fail","fail",IF(K5&gt;=75,"A+",IF(K5&gt;=60,"A",IF(K5&gt;=45,"B",IF(K5&gt;=35,"C")))))</f>
        <v>B</v>
      </c>
    </row>
    <row r="6" spans="1:14" x14ac:dyDescent="0.3">
      <c r="A6" s="4">
        <v>4</v>
      </c>
      <c r="B6" s="5" t="s">
        <v>12</v>
      </c>
      <c r="C6" s="14">
        <v>8627145263</v>
      </c>
      <c r="D6" s="5">
        <v>86</v>
      </c>
      <c r="E6" s="5">
        <v>76</v>
      </c>
      <c r="F6" s="5">
        <v>63</v>
      </c>
      <c r="G6" s="5">
        <f>SUM(Table1[[#This Row],[Hindi]:[Maths]])</f>
        <v>225</v>
      </c>
      <c r="H6" s="5">
        <f>MAX(D6:F6)</f>
        <v>86</v>
      </c>
      <c r="I6" s="5">
        <f>MIN(D6:F6)</f>
        <v>63</v>
      </c>
      <c r="J6" s="5">
        <f>COUNT(D6:F6)</f>
        <v>3</v>
      </c>
      <c r="K6" s="6">
        <f>G6/350*100</f>
        <v>64.285714285714292</v>
      </c>
      <c r="L6" s="6">
        <f>AVERAGE(D6:F6)</f>
        <v>75</v>
      </c>
      <c r="M6" s="5" t="str">
        <f>IF(AND(D6&gt;=33,E6&gt;=33,F6&gt;=33),"pass","fail")</f>
        <v>pass</v>
      </c>
      <c r="N6" s="7" t="str">
        <f>IF(M6="fail","fail",IF(K6&gt;=75,"A+",IF(K6&gt;=60,"A",IF(K6&gt;=45,"B",IF(K6&gt;=35,"C")))))</f>
        <v>A</v>
      </c>
    </row>
    <row r="7" spans="1:14" x14ac:dyDescent="0.3">
      <c r="A7" s="8">
        <v>5</v>
      </c>
      <c r="B7" s="9" t="s">
        <v>10</v>
      </c>
      <c r="C7" s="13">
        <v>9053279541</v>
      </c>
      <c r="D7" s="9">
        <v>59</v>
      </c>
      <c r="E7" s="9">
        <v>58</v>
      </c>
      <c r="F7" s="9">
        <v>112</v>
      </c>
      <c r="G7" s="9">
        <f>SUM(Table1[[#This Row],[Hindi]:[Maths]])</f>
        <v>229</v>
      </c>
      <c r="H7" s="9">
        <f>MAX(D7:F7)</f>
        <v>112</v>
      </c>
      <c r="I7" s="9">
        <f>MIN(D7:F7)</f>
        <v>58</v>
      </c>
      <c r="J7" s="9">
        <f>COUNT(D7:F7)</f>
        <v>3</v>
      </c>
      <c r="K7" s="10">
        <f>G7/350*100</f>
        <v>65.428571428571431</v>
      </c>
      <c r="L7" s="10">
        <f>AVERAGE(D7:F7)</f>
        <v>76.333333333333329</v>
      </c>
      <c r="M7" s="9" t="str">
        <f>IF(AND(D7&gt;=33,E7&gt;=33,F7&gt;=33),"pass","fail")</f>
        <v>pass</v>
      </c>
      <c r="N7" s="11" t="str">
        <f>IF(M7="fail","fail",IF(K7&gt;=75,"A+",IF(K7&gt;=60,"A",IF(K7&gt;=45,"B",IF(K7&gt;=35,"C")))))</f>
        <v>A</v>
      </c>
    </row>
  </sheetData>
  <sortState xmlns:xlrd2="http://schemas.microsoft.com/office/spreadsheetml/2017/richdata2" ref="A3:A7">
    <sortCondition ref="A3:A7"/>
  </sortState>
  <mergeCells count="1">
    <mergeCell ref="A1:N1"/>
  </mergeCells>
  <conditionalFormatting sqref="B1 B8:B1048576">
    <cfRule type="duplicateValues" dxfId="1" priority="8"/>
  </conditionalFormatting>
  <conditionalFormatting sqref="D3:F8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G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{49C4504E-69F8-40D9-93A9-1B1F5DB0EDE0}</x14:id>
        </ext>
      </extLst>
    </cfRule>
  </conditionalFormatting>
  <conditionalFormatting sqref="O4">
    <cfRule type="cellIs" dxfId="0" priority="17" operator="greaterThan">
      <formula>90</formula>
    </cfRule>
  </conditionalFormatting>
  <pageMargins left="7.0000000000000007E-2" right="0.05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C4504E-69F8-40D9-93A9-1B1F5DB0ED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3C38-F8AC-40BA-A6AA-EDCBF55CD40D}">
  <dimension ref="F3"/>
  <sheetViews>
    <sheetView tabSelected="1" workbookViewId="0">
      <selection activeCell="O4" sqref="O4"/>
    </sheetView>
  </sheetViews>
  <sheetFormatPr defaultRowHeight="14.4" x14ac:dyDescent="0.3"/>
  <cols>
    <col min="1" max="1" width="6.5546875" bestFit="1" customWidth="1"/>
    <col min="2" max="2" width="14.44140625" bestFit="1" customWidth="1"/>
    <col min="3" max="3" width="10.77734375" bestFit="1" customWidth="1"/>
    <col min="4" max="4" width="8.109375" bestFit="1" customWidth="1"/>
  </cols>
  <sheetData>
    <row r="3" spans="6:6" x14ac:dyDescent="0.3">
      <c r="F3" t="s">
        <v>20</v>
      </c>
    </row>
  </sheetData>
  <sortState xmlns:xlrd2="http://schemas.microsoft.com/office/spreadsheetml/2017/richdata2" ref="A3:A7">
    <sortCondition ref="A2:A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7BE9CB-97C5-4A25-BEDE-4172B4BBFC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students_record</vt:lpstr>
      <vt:lpstr>department_data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BHUPENDER VERMA</dc:creator>
  <cp:lastModifiedBy>BHUPENDER VERMA</cp:lastModifiedBy>
  <cp:lastPrinted>2026-06-03T07:42:18Z</cp:lastPrinted>
  <dcterms:created xsi:type="dcterms:W3CDTF">2026-05-25T16:19:15Z</dcterms:created>
  <dcterms:modified xsi:type="dcterms:W3CDTF">2026-07-06T13:41:15Z</dcterms:modified>
</cp:coreProperties>
</file>